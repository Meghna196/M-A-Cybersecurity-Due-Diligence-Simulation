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meghnasuresh/Desktop/Github Projects/NovaPay-MA-Cybersecurity-Due-Diligence/"/>
    </mc:Choice>
  </mc:AlternateContent>
  <xr:revisionPtr revIDLastSave="0" documentId="13_ncr:1_{98F1150E-E25A-D84F-8E60-3169BF5AA260}" xr6:coauthVersionLast="47" xr6:coauthVersionMax="47" xr10:uidLastSave="{00000000-0000-0000-0000-000000000000}"/>
  <bookViews>
    <workbookView xWindow="0" yWindow="680" windowWidth="29400" windowHeight="17380" xr2:uid="{00000000-000D-0000-FFFF-FFFF00000000}"/>
  </bookViews>
  <sheets>
    <sheet name="Framework Mapping" sheetId="1" r:id="rId1"/>
    <sheet name="Findings Log" sheetId="2" r:id="rId2"/>
    <sheet name="Risk Register" sheetId="3" r:id="rId3"/>
  </sheets>
  <definedNames>
    <definedName name="_xlnm._FilterDatabase" localSheetId="1" hidden="1">'Findings Log'!$A$4:$H$12</definedName>
    <definedName name="_xlnm._FilterDatabase" localSheetId="0" hidden="1">'Framework Mapping'!$A$4:$G$26</definedName>
    <definedName name="_xlnm._FilterDatabase" localSheetId="2" hidden="1">'Risk Register'!$A$4:$J$12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3" l="1"/>
  <c r="G12" i="3" s="1"/>
  <c r="F11" i="3"/>
  <c r="G11" i="3" s="1"/>
  <c r="F10" i="3"/>
  <c r="G10" i="3" s="1"/>
  <c r="F9" i="3"/>
  <c r="G9" i="3" s="1"/>
  <c r="F8" i="3"/>
  <c r="G8" i="3" s="1"/>
  <c r="F7" i="3"/>
  <c r="G7" i="3" s="1"/>
  <c r="F6" i="3"/>
  <c r="G6" i="3" s="1"/>
  <c r="F5" i="3"/>
  <c r="G5" i="3" s="1"/>
  <c r="B18" i="3" l="1"/>
  <c r="B17" i="3"/>
  <c r="B16" i="3"/>
  <c r="B15" i="3"/>
</calcChain>
</file>

<file path=xl/sharedStrings.xml><?xml version="1.0" encoding="utf-8"?>
<sst xmlns="http://schemas.openxmlformats.org/spreadsheetml/2006/main" count="280" uniqueCount="241">
  <si>
    <t>Framework Mapping — NIST CSF 2.0 x CIS Controls v8</t>
  </si>
  <si>
    <t>NovaPay Technologies pre-acquisition assessment. Maturity scale: 1 Not implemented | 2 Partial/informal | 3 Defined | 4 Managed/measured | 5 Optimized.</t>
  </si>
  <si>
    <t>NIST CSF Function</t>
  </si>
  <si>
    <t>NIST CSF Category</t>
  </si>
  <si>
    <t>Assessment Question</t>
  </si>
  <si>
    <t>CIS Control Reference</t>
  </si>
  <si>
    <t>Finding</t>
  </si>
  <si>
    <t>Maturity Score (1-5)</t>
  </si>
  <si>
    <t>Notes</t>
  </si>
  <si>
    <t>Govern</t>
  </si>
  <si>
    <t>Organizational Context</t>
  </si>
  <si>
    <t>Does NovaPay have a documented security policy?</t>
  </si>
  <si>
    <t>CIS 1, CIS 17</t>
  </si>
  <si>
    <t>No formal security policy located in the questionnaire or supporting docs.</t>
  </si>
  <si>
    <t>Baseline governance gap; drives multiple downstream findings.</t>
  </si>
  <si>
    <t>Roles, Responsibilities &amp; Authorities</t>
  </si>
  <si>
    <t>Are security roles and responsibilities formally assigned?</t>
  </si>
  <si>
    <t>CIS 14, CIS 17</t>
  </si>
  <si>
    <t>Single IT admin holds all IT and security duties; no separation of duties.</t>
  </si>
  <si>
    <t>Key-person dependency (see F-008).</t>
  </si>
  <si>
    <t>Risk Management Strategy</t>
  </si>
  <si>
    <t>Is there a formal, repeatable risk management process?</t>
  </si>
  <si>
    <t>CIS 18</t>
  </si>
  <si>
    <t>Risk decisions are ad hoc; no risk register or acceptance process.</t>
  </si>
  <si>
    <t>No structured risk ownership.</t>
  </si>
  <si>
    <t>Cybersecurity Supply Chain Risk Mgmt</t>
  </si>
  <si>
    <t>Are third-party and vendor risks assessed and tracked?</t>
  </si>
  <si>
    <t>CIS 15</t>
  </si>
  <si>
    <t>No vendor / supply-chain risk program evident.</t>
  </si>
  <si>
    <t>Relevant given payment partner ecosystem.</t>
  </si>
  <si>
    <t>Identify</t>
  </si>
  <si>
    <t>Asset Management</t>
  </si>
  <si>
    <t>Is there a complete inventory of hardware and software assets?</t>
  </si>
  <si>
    <t>CIS 1, CIS 2</t>
  </si>
  <si>
    <t>Partial inventory; cloud (AWS) assets only.</t>
  </si>
  <si>
    <t>On-prem and endpoints under-tracked.</t>
  </si>
  <si>
    <t>Is the legacy on-prem Oracle DB tracked in the asset inventory?</t>
  </si>
  <si>
    <t>CIS 1</t>
  </si>
  <si>
    <t>Legacy Oracle DB sits outside cloud tooling and inventory scope.</t>
  </si>
  <si>
    <t>Blind spot — basis for F-003.</t>
  </si>
  <si>
    <t>Risk Assessment</t>
  </si>
  <si>
    <t>Are vulnerabilities identified and prioritized (e.g., CVEs)?</t>
  </si>
  <si>
    <t>CIS 7</t>
  </si>
  <si>
    <t>No documented vulnerability management or patch program.</t>
  </si>
  <si>
    <t>Basis for F-006.</t>
  </si>
  <si>
    <t>Data Security — Classification</t>
  </si>
  <si>
    <t>Is sensitive data classified and inventoried?</t>
  </si>
  <si>
    <t>CIS 3</t>
  </si>
  <si>
    <t>No data classification scheme; cardholder data not formally mapped.</t>
  </si>
  <si>
    <t>PCI-relevant gap.</t>
  </si>
  <si>
    <t>Protect</t>
  </si>
  <si>
    <t>Identity Management &amp; Access Control</t>
  </si>
  <si>
    <t>Is MFA enforced for all staff?</t>
  </si>
  <si>
    <t>CIS 6</t>
  </si>
  <si>
    <t>Okta SSO deployed to only ~60% of staff; 40% without MFA.</t>
  </si>
  <si>
    <t>Basis for F-001 (Critical).</t>
  </si>
  <si>
    <t>Are least-privilege and periodic access reviews performed?</t>
  </si>
  <si>
    <t>CIS 5, CIS 6</t>
  </si>
  <si>
    <t>No periodic access certification / joiner-mover-leaver process evident.</t>
  </si>
  <si>
    <t>Privilege creep risk.</t>
  </si>
  <si>
    <t>Awareness &amp; Training</t>
  </si>
  <si>
    <t>Is security awareness training conducted at least annually?</t>
  </si>
  <si>
    <t>CIS 14</t>
  </si>
  <si>
    <t>No evidence of any security awareness training.</t>
  </si>
  <si>
    <t>Phishing exposure for a payments firm.</t>
  </si>
  <si>
    <t>Data Security</t>
  </si>
  <si>
    <t>Is data encrypted at rest and in transit?</t>
  </si>
  <si>
    <t>In transit: yes. At rest: unclear, especially the on-prem Oracle DB.</t>
  </si>
  <si>
    <t>Confirm KMS/TDE coverage.</t>
  </si>
  <si>
    <t>Platform Security</t>
  </si>
  <si>
    <t>Are endpoints hardened and protected with security tooling?</t>
  </si>
  <si>
    <t>CIS 4, CIS 10</t>
  </si>
  <si>
    <t>Windows 10 endpoints with no EDR deployed.</t>
  </si>
  <si>
    <t>Basis for F-002 (Critical).</t>
  </si>
  <si>
    <t>Technology Infrastructure Resilience</t>
  </si>
  <si>
    <t>Are backups performed, tested and protected?</t>
  </si>
  <si>
    <t>CIS 11</t>
  </si>
  <si>
    <t>Backup and restore posture undocumented.</t>
  </si>
  <si>
    <t>Ties to recovery findings.</t>
  </si>
  <si>
    <t>Detect</t>
  </si>
  <si>
    <t>Continuous Monitoring</t>
  </si>
  <si>
    <t>Is a SIEM or centralized log aggregation in place?</t>
  </si>
  <si>
    <t>CIS 8</t>
  </si>
  <si>
    <t>No SIEM. AWS CloudTrail enabled but not aggregated/reviewed.</t>
  </si>
  <si>
    <t>Logs exist but unmonitored.</t>
  </si>
  <si>
    <t>Is the Kubernetes / payment microservice environment monitored?</t>
  </si>
  <si>
    <t>CIS 8, CIS 13</t>
  </si>
  <si>
    <t>No runtime or network monitoring evident for the payment cluster.</t>
  </si>
  <si>
    <t>Core revenue system unmonitored.</t>
  </si>
  <si>
    <t>Adverse Event Analysis</t>
  </si>
  <si>
    <t>Are alerts tuned and reviewed on a regular cadence?</t>
  </si>
  <si>
    <t>No dedicated reviewer; alerts would go unactioned.</t>
  </si>
  <si>
    <t>Detection without response = no detection.</t>
  </si>
  <si>
    <t>Are GitHub repos scanned for secrets and exposure (public + private)?</t>
  </si>
  <si>
    <t>CIS 16</t>
  </si>
  <si>
    <t>Mix of public and private repos; no secrets scanning evident.</t>
  </si>
  <si>
    <t>Basis for F-007.</t>
  </si>
  <si>
    <t>Respond</t>
  </si>
  <si>
    <t>Incident Response Management</t>
  </si>
  <si>
    <t>Does NovaPay have a documented incident response plan?</t>
  </si>
  <si>
    <t>CIS 17</t>
  </si>
  <si>
    <t>No IR plan, no IR firm retainer.</t>
  </si>
  <si>
    <t>Basis for F-005 (High).</t>
  </si>
  <si>
    <t>Incident Response Reporting</t>
  </si>
  <si>
    <t>Are breach notification obligations defined (PCI 12.10, state law)?</t>
  </si>
  <si>
    <t>No notification process; statutory timelines likely to be missed.</t>
  </si>
  <si>
    <t>Regulatory exposure.</t>
  </si>
  <si>
    <t>Recover</t>
  </si>
  <si>
    <t>Incident Recovery Plan Execution</t>
  </si>
  <si>
    <t>Are disaster recovery plans documented and tested?</t>
  </si>
  <si>
    <t>No evidence of DR plan or DR testing.</t>
  </si>
  <si>
    <t>Unproven recoverability.</t>
  </si>
  <si>
    <t>Incident Recovery Communication</t>
  </si>
  <si>
    <t>Is there a recovery communications plan for customers/regulators?</t>
  </si>
  <si>
    <t>No customer or regulator communication plan documented.</t>
  </si>
  <si>
    <t>Reputational + compliance risk.</t>
  </si>
  <si>
    <t>Findings Log</t>
  </si>
  <si>
    <t>Each finding = a control gap plus its business / regulatory consequence.</t>
  </si>
  <si>
    <t>Finding ID</t>
  </si>
  <si>
    <t>Title</t>
  </si>
  <si>
    <t>Description</t>
  </si>
  <si>
    <t>Evidence / Basis</t>
  </si>
  <si>
    <t>Affected Asset</t>
  </si>
  <si>
    <t>NIST CSF Reference</t>
  </si>
  <si>
    <t>CIS Control</t>
  </si>
  <si>
    <t>Regulatory Implication</t>
  </si>
  <si>
    <t>F-001</t>
  </si>
  <si>
    <t>Incomplete MFA Deployment</t>
  </si>
  <si>
    <t>Okta SSO is deployed but covers only ~60% of staff, leaving roughly 40% of accounts able to reach systems without multi-factor authentication. Access paths to the payment environment are therefore available to single-factor accounts.</t>
  </si>
  <si>
    <t>Tech stack: Okta deployed to 60% of staff; vendor questionnaire.</t>
  </si>
  <si>
    <t>Okta / identity layer; payment processing systems</t>
  </si>
  <si>
    <t>Protect &gt; Identity Management &amp; Access Control</t>
  </si>
  <si>
    <t>CIS 6.3, CIS 6.5</t>
  </si>
  <si>
    <t>PCI DSS Req. 8 (MFA for access to the cardholder data environment).</t>
  </si>
  <si>
    <t>F-002</t>
  </si>
  <si>
    <t>No Endpoint Detection &amp; Response (EDR)</t>
  </si>
  <si>
    <t>Windows 10 endpoints have no EDR. A single compromised laptop (phishing, malware) could act as an undetected pivot point into the payment processing environment, with no host-level telemetry to detect or contain it.</t>
  </si>
  <si>
    <t>Tech stack: Windows 10 endpoints, no EDR; no SIEM.</t>
  </si>
  <si>
    <t>Windows 10 endpoints; payment environment</t>
  </si>
  <si>
    <t>Protect &gt; Platform Security</t>
  </si>
  <si>
    <t>CIS 10, CIS 13</t>
  </si>
  <si>
    <t>PCI DSS Req. 5 (protect systems from malware).</t>
  </si>
  <si>
    <t>F-003</t>
  </si>
  <si>
    <t>Legacy Oracle Database Outside Cloud Security Scope</t>
  </si>
  <si>
    <t>The on-prem Oracle database holding three years of transaction history operates outside AWS and is not covered by any cloud-native security tooling, logging, or inventory. This creates a monitoring and control blind spot around highly sensitive historical payment data.</t>
  </si>
  <si>
    <t>Tech stack: legacy on-prem Oracle DB, 3 yrs transaction history.</t>
  </si>
  <si>
    <t>On-prem Oracle transaction database</t>
  </si>
  <si>
    <t>Identify &gt; Asset Management</t>
  </si>
  <si>
    <t>CIS 1, CIS 3</t>
  </si>
  <si>
    <t>PCI DSS Req. 3 (protect stored account data); data-at-rest encryption.</t>
  </si>
  <si>
    <t>F-004</t>
  </si>
  <si>
    <t>SOC 2 Type I Only — No Continuous Assurance</t>
  </si>
  <si>
    <t>The only third-party attestation is a SOC 2 Type I from 18 months ago. Type I attests that controls existed at a single point in time; it says nothing about whether controls have operated effectively since. There is no Type II and the report is stale, so current control effectiveness is unproven.</t>
  </si>
  <si>
    <t>Attestations: SOC 2 Type I (18 months old); no Type II.</t>
  </si>
  <si>
    <t>Control environment / assurance posture</t>
  </si>
  <si>
    <t>Govern &gt; Risk Management Strategy</t>
  </si>
  <si>
    <t>SOC 2 assurance gap; weakens reliance for a PCI-relevant business.</t>
  </si>
  <si>
    <t>F-005</t>
  </si>
  <si>
    <t>No Incident Response Plan</t>
  </si>
  <si>
    <t>NovaPay has no documented IR plan, no retainer with a third-party IR firm, and a single IT admin. In a breach affecting cardholder data, containment would be improvised and breach-notification timelines under state law and PCI DSS Req. 12.10 would almost certainly be missed.</t>
  </si>
  <si>
    <t>Tech stack: no IR plan; single IT admin; no security team.</t>
  </si>
  <si>
    <t>Whole environment; cardholder data</t>
  </si>
  <si>
    <t>Respond &gt; Incident Response Management</t>
  </si>
  <si>
    <t>PCI DSS Req. 12.10; state breach-notification statutes.</t>
  </si>
  <si>
    <t>F-006</t>
  </si>
  <si>
    <t>No Vulnerability Management Program</t>
  </si>
  <si>
    <t>There is no documented vulnerability scanning, CVE tracking, or patch cadence across cloud, containers, endpoints, or the legacy database. Known, exploitable vulnerabilities could persist indefinitely in an internet-facing payment platform.</t>
  </si>
  <si>
    <t>Framework assessment: no vuln mgmt program; no SIEM.</t>
  </si>
  <si>
    <t>AWS, Kubernetes, endpoints, Oracle DB</t>
  </si>
  <si>
    <t>Identify &gt; Risk Assessment</t>
  </si>
  <si>
    <t>PCI DSS Req. 6 &amp; 11 (patching and vulnerability scanning).</t>
  </si>
  <si>
    <t>F-007</t>
  </si>
  <si>
    <t>Public GitHub Repositories &amp; Secrets-Exposure Risk</t>
  </si>
  <si>
    <t>NovaPay uses a mix of public and private GitHub repositories with no evident secrets scanning. Public repos and unscanned history raise the risk of leaked API keys, credentials, or proprietary payment logic reaching the open internet.</t>
  </si>
  <si>
    <t>Tech stack: GitHub, mix of public and private repos.</t>
  </si>
  <si>
    <t>Source code; CI/CD secrets</t>
  </si>
  <si>
    <t>Detect &gt; Continuous Monitoring</t>
  </si>
  <si>
    <t>PCI DSS Req. 6.3 (secure development); IP/credential exposure.</t>
  </si>
  <si>
    <t>F-008</t>
  </si>
  <si>
    <t>No Security Function — Single IT Admin (Key-Person Risk)</t>
  </si>
  <si>
    <t>Security is handled by one IT admin with no dedicated security team, no separation of duties, and no coverage for absence or departure. This concentrates all security knowledge and privileged access in a single person and prevents independent oversight.</t>
  </si>
  <si>
    <t>Tech stack: no dedicated security team; single IT admin.</t>
  </si>
  <si>
    <t>Organization-wide security operations</t>
  </si>
  <si>
    <t>Govern &gt; Roles, Responsibilities &amp; Authorities</t>
  </si>
  <si>
    <t>Segregation-of-duties expectations under SOC 2 / PCI governance.</t>
  </si>
  <si>
    <t>Risk Register — Likelihood x Impact</t>
  </si>
  <si>
    <t>Score = Likelihood x Impact.  Rating bands: 1-8 Low | 9-14 Medium | 15-19 High | 20-25 Critical.  Both Score and Rating are live formulas.</t>
  </si>
  <si>
    <t>Risk ID</t>
  </si>
  <si>
    <t>Finding Ref</t>
  </si>
  <si>
    <t>Risk Statement</t>
  </si>
  <si>
    <t>Likelihood (1-5)</t>
  </si>
  <si>
    <t>Impact (1-5)</t>
  </si>
  <si>
    <t>Risk Score</t>
  </si>
  <si>
    <t>Risk Rating</t>
  </si>
  <si>
    <t>Recommended Treatment</t>
  </si>
  <si>
    <t>Owner (Post-Acquisition)</t>
  </si>
  <si>
    <t>Remediation Timeline</t>
  </si>
  <si>
    <t>R-001</t>
  </si>
  <si>
    <t>There is a risk that an attacker gains unauthorized access to NovaPay's payment systems via a compromised credential because MFA is not enforced for 40% of staff, resulting in a potential cardholder data breach, PCI DSS penalties, and reputational damage to Meridian post-acquisition.</t>
  </si>
  <si>
    <t>Require full Okta MFA rollout to 100% of staff and all admin access.</t>
  </si>
  <si>
    <t>CISO</t>
  </si>
  <si>
    <t>30 days (pre-close condition)</t>
  </si>
  <si>
    <t>R-002</t>
  </si>
  <si>
    <t>There is a risk that a compromised Windows endpoint goes undetected and is used to pivot into the payment environment because no EDR is deployed, resulting in undetected data exfiltration and prolonged attacker dwell time.</t>
  </si>
  <si>
    <t>Deploy EDR (e.g., CrowdStrike Falcon Go / SentinelOne) to all endpoints.</t>
  </si>
  <si>
    <t>CISO / IT Ops</t>
  </si>
  <si>
    <t>30-60 days post-close</t>
  </si>
  <si>
    <t>R-003</t>
  </si>
  <si>
    <t>There is a risk that three years of stored transaction data are breached or corrupted because the legacy on-prem Oracle database sits outside all cloud security tooling and monitoring, resulting in a large-scale data exposure with unclear detection.</t>
  </si>
  <si>
    <t>Bring Oracle DB into inventory, confirm encryption at rest, apply CIS hardening and logging.</t>
  </si>
  <si>
    <t>IT Ops / Data Owner</t>
  </si>
  <si>
    <t>60-90 days post-close</t>
  </si>
  <si>
    <t>R-004</t>
  </si>
  <si>
    <t>There is a risk that Meridian relies on outdated control assurance because the only attestation is an 18-month-old SOC 2 Type I with no Type II, resulting in undisclosed control failures surfacing after the deal closes.</t>
  </si>
  <si>
    <t>Initiate SOC 2 Type II audit; treat findings as post-close remediation input.</t>
  </si>
  <si>
    <t>CISO / Compliance</t>
  </si>
  <si>
    <t>Start pre-close; audit 6-12 months</t>
  </si>
  <si>
    <t>R-005</t>
  </si>
  <si>
    <t>There is a risk that a security incident causes regulatory penalties and customer loss because NovaPay has no IR plan and a single admin, resulting in missed PCI 12.10 and state breach-notification timelines and uncontrolled incident impact.</t>
  </si>
  <si>
    <t>Sign IR firm retainer (pre-close) and build/test an IR plan aligned to NIST SP 800-61.</t>
  </si>
  <si>
    <t>CISO / Legal</t>
  </si>
  <si>
    <t>Retainer pre-close; plan 90 days</t>
  </si>
  <si>
    <t>R-006</t>
  </si>
  <si>
    <t>There is a risk that known exploitable vulnerabilities persist in the payment platform because there is no vulnerability management or patch program, resulting in preventable compromise of internet-facing systems.</t>
  </si>
  <si>
    <t>Stand up vulnerability scanning and a patch SLA across cloud, containers, endpoints and DB.</t>
  </si>
  <si>
    <t>IT Ops</t>
  </si>
  <si>
    <t>60-120 days post-close</t>
  </si>
  <si>
    <t>R-007</t>
  </si>
  <si>
    <t>There is a risk that credentials or proprietary payment code are exposed because public GitHub repos are used with no secrets scanning, resulting in credential theft and unauthorized environment access.</t>
  </si>
  <si>
    <t>Enable secrets scanning, audit public repos, rotate any exposed credentials.</t>
  </si>
  <si>
    <t>IT Ops / Dev Lead</t>
  </si>
  <si>
    <t>R-008</t>
  </si>
  <si>
    <t>There is a risk that security operations fail or stall because all security responsibility rests with one IT admin with no separation of duties, resulting in unmanaged risk, no oversight, and single-point-of-failure exposure.</t>
  </si>
  <si>
    <t>Hire a security lead or embed a Meridian security resource; establish separation of duties.</t>
  </si>
  <si>
    <t>Meridian CISO</t>
  </si>
  <si>
    <t>90-180 days post-close</t>
  </si>
  <si>
    <t>Risk profile summary</t>
  </si>
  <si>
    <t>Critical</t>
  </si>
  <si>
    <t>High</t>
  </si>
  <si>
    <t>Medium</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</si>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</sst>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color rgb="FF1F3864"/>
      <name val="Calibri"/>
      <family val="2"/>
    </font>
    <font>
      <i/>
      <sz val="10"/>
      <color rgb="FF595959"/>
      <name val="Calibri"/>
      <family val="2"/>
    </font>
    <font>
      <b/>
      <sz val="12"/>
      <color rgb="FFFFFFFF"/>
      <name val="Times New Roman"/>
      <family val="1"/>
    </font>
    <font>
      <b/>
      <sz val="12"/>
      <color rgb="FF7F6000"/>
      <name val="Times New Roman"/>
      <family val="1"/>
    </font>
    <font>
      <sz val="12"/>
      <color theme="1"/>
      <name val="Times New Roman"/>
      <family val="1"/>
    </font>
    <font>
      <sz val="12"/>
      <color rgb="FF000000"/>
      <name val="Times New Roman"/>
      <family val="1"/>
    </font>
    <font>
      <b/>
      <sz val="12"/>
      <color rgb="FF1F4E79"/>
      <name val="Times New Roman"/>
      <family val="1"/>
    </font>
    <font>
      <b/>
      <sz val="12"/>
      <color rgb="FF5B3A85"/>
      <name val="Times New Roman"/>
      <family val="1"/>
    </font>
    <font>
      <b/>
      <sz val="12"/>
      <color rgb="FF9C4A00"/>
      <name val="Times New Roman"/>
      <family val="1"/>
    </font>
    <font>
      <b/>
      <sz val="12"/>
      <color rgb="FF990000"/>
      <name val="Times New Roman"/>
      <family val="1"/>
    </font>
    <font>
      <b/>
      <sz val="12"/>
      <color rgb="FF375623"/>
      <name val="Times New Roman"/>
      <family val="1"/>
    </font>
    <font>
      <i/>
      <sz val="12"/>
      <color rgb="FF595959"/>
      <name val="Times New Roman"/>
      <family val="1"/>
    </font>
    <font>
      <b/>
      <sz val="12"/>
      <color theme="1"/>
      <name val="Times New Roman"/>
      <family val="1"/>
    </font>
    <font>
      <b/>
      <sz val="12"/>
      <color rgb="FF1F3864"/>
      <name val="Times New Roman"/>
      <family val="1"/>
    </font>
    <font>
      <b/>
      <sz val="12"/>
      <color rgb="FF000000"/>
      <name val="Times New Roman"/>
      <family val="1"/>
    </font>
  </fonts>
  <fills count="14">
    <fill>
      <patternFill patternType="none"/>
    </fill>
    <fill>
      <patternFill patternType="gray125"/>
    </fill>
    <fill>
      <patternFill patternType="solid">
        <fgColor rgb="FF1F3864"/>
      </patternFill>
    </fill>
    <fill>
      <patternFill patternType="solid">
        <fgColor rgb="FFF2F5FB"/>
      </patternFill>
    </fill>
    <fill>
      <patternFill patternType="solid">
        <fgColor rgb="FFFFF2CC"/>
        <bgColor indexed="64"/>
      </patternFill>
    </fill>
    <fill>
      <patternFill patternType="solid">
        <fgColor rgb="FFDDEBF7"/>
        <bgColor indexed="64"/>
      </patternFill>
    </fill>
    <fill>
      <patternFill patternType="solid">
        <fgColor rgb="FFE4DFEC"/>
        <bgColor indexed="64"/>
      </patternFill>
    </fill>
    <fill>
      <patternFill patternType="solid">
        <fgColor rgb="FFFCE4D6"/>
        <bgColor indexed="64"/>
      </patternFill>
    </fill>
    <fill>
      <patternFill patternType="solid">
        <fgColor rgb="FFF8CBCB"/>
        <bgColor indexed="64"/>
      </patternFill>
    </fill>
    <fill>
      <patternFill patternType="solid">
        <fgColor rgb="FFE2EFDA"/>
        <bgColor indexed="64"/>
      </patternFill>
    </fill>
    <fill>
      <patternFill patternType="solid">
        <fgColor rgb="FFC00000"/>
        <bgColor indexed="64"/>
      </patternFill>
    </fill>
    <fill>
      <patternFill patternType="solid">
        <fgColor rgb="FFED7D31"/>
        <bgColor indexed="64"/>
      </patternFill>
    </fill>
    <fill>
      <patternFill patternType="solid">
        <fgColor rgb="FFFFD966"/>
        <bgColor indexed="64"/>
      </patternFill>
    </fill>
    <fill>
      <patternFill patternType="solid">
        <fgColor rgb="FFA9D08E"/>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medium">
        <color rgb="FF1F3864"/>
      </top>
      <bottom style="thin">
        <color rgb="FFBFBFBF"/>
      </bottom>
      <diagonal/>
    </border>
    <border>
      <left style="thin">
        <color rgb="FFBFBFBF"/>
      </left>
      <right style="thin">
        <color rgb="FFBFBFBF"/>
      </right>
      <top/>
      <bottom/>
      <diagonal/>
    </border>
    <border>
      <left style="thin">
        <color rgb="FFBFBFBF"/>
      </left>
      <right style="thin">
        <color rgb="FFBFBFBF"/>
      </right>
      <top style="medium">
        <color rgb="FF1F3864"/>
      </top>
      <bottom/>
      <diagonal/>
    </border>
    <border>
      <left style="thin">
        <color rgb="FFBFBFBF"/>
      </left>
      <right style="thin">
        <color rgb="FFBFBFBF"/>
      </right>
      <top style="thin">
        <color rgb="FFBFBFBF"/>
      </top>
      <bottom style="medium">
        <color rgb="FF1F3864"/>
      </bottom>
      <diagonal/>
    </border>
  </borders>
  <cellStyleXfs count="1">
    <xf numFmtId="0" fontId="0" fillId="0" borderId="0"/>
  </cellStyleXfs>
  <cellXfs count="77">
    <xf numFmtId="0" fontId="0" fillId="0" borderId="0" xfId="0"/>
    <xf numFmtId="0" fontId="2" fillId="0" borderId="0" xfId="0" applyFont="1"/>
    <xf numFmtId="0" fontId="0" fillId="0" borderId="0" xfId="0"/>
    <xf numFmtId="0" fontId="1" fillId="0" borderId="0" xfId="0" applyFont="1"/>
    <xf numFmtId="0" fontId="3" fillId="2" borderId="2" xfId="0" applyFont="1" applyFill="1" applyBorder="1" applyAlignment="1">
      <alignment horizontal="left" vertical="top" wrapText="1"/>
    </xf>
    <xf numFmtId="0" fontId="3" fillId="2" borderId="2" xfId="0" applyFont="1" applyFill="1" applyBorder="1" applyAlignment="1">
      <alignment horizontal="center" vertical="top" wrapText="1"/>
    </xf>
    <xf numFmtId="0" fontId="4" fillId="4" borderId="4" xfId="0" applyFont="1" applyFill="1" applyBorder="1" applyAlignment="1">
      <alignment vertical="top" wrapText="1"/>
    </xf>
    <xf numFmtId="0" fontId="5" fillId="0" borderId="4" xfId="0" applyFont="1" applyBorder="1" applyAlignment="1">
      <alignment vertical="top" wrapText="1"/>
    </xf>
    <xf numFmtId="0" fontId="5" fillId="0" borderId="4" xfId="0" applyFont="1" applyBorder="1" applyAlignment="1">
      <alignment horizontal="center" vertical="top" wrapText="1"/>
    </xf>
    <xf numFmtId="0" fontId="6" fillId="0" borderId="4" xfId="0" applyFont="1" applyBorder="1" applyAlignment="1">
      <alignment horizontal="center" vertical="center" wrapText="1"/>
    </xf>
    <xf numFmtId="0" fontId="4" fillId="4" borderId="3" xfId="0" applyFont="1" applyFill="1" applyBorder="1" applyAlignment="1">
      <alignment vertical="top" wrapText="1"/>
    </xf>
    <xf numFmtId="0" fontId="5" fillId="3" borderId="3" xfId="0" applyFont="1" applyFill="1" applyBorder="1" applyAlignment="1">
      <alignment vertical="top" wrapText="1"/>
    </xf>
    <xf numFmtId="0" fontId="5" fillId="3" borderId="3" xfId="0" applyFont="1" applyFill="1" applyBorder="1" applyAlignment="1">
      <alignment horizontal="center" vertical="top" wrapText="1"/>
    </xf>
    <xf numFmtId="0" fontId="6" fillId="3" borderId="3" xfId="0" applyFont="1" applyFill="1" applyBorder="1" applyAlignment="1">
      <alignment horizontal="center" vertical="center" wrapText="1"/>
    </xf>
    <xf numFmtId="0" fontId="4" fillId="4" borderId="1" xfId="0" applyFont="1" applyFill="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6" fillId="0" borderId="1" xfId="0" applyFont="1" applyBorder="1" applyAlignment="1">
      <alignment horizontal="center" vertical="center" wrapText="1"/>
    </xf>
    <xf numFmtId="0" fontId="4" fillId="4" borderId="2" xfId="0" applyFont="1" applyFill="1" applyBorder="1" applyAlignment="1">
      <alignment vertical="top" wrapText="1"/>
    </xf>
    <xf numFmtId="0" fontId="5" fillId="3" borderId="2" xfId="0" applyFont="1" applyFill="1" applyBorder="1" applyAlignment="1">
      <alignment vertical="top" wrapText="1"/>
    </xf>
    <xf numFmtId="0" fontId="5" fillId="3" borderId="2" xfId="0" applyFont="1" applyFill="1" applyBorder="1" applyAlignment="1">
      <alignment horizontal="center" vertical="top" wrapText="1"/>
    </xf>
    <xf numFmtId="0" fontId="6" fillId="3" borderId="2" xfId="0" applyFont="1" applyFill="1" applyBorder="1" applyAlignment="1">
      <alignment horizontal="center" vertical="center" wrapText="1"/>
    </xf>
    <xf numFmtId="0" fontId="7" fillId="5" borderId="4" xfId="0" applyFont="1" applyFill="1" applyBorder="1" applyAlignment="1">
      <alignment vertical="top" wrapText="1"/>
    </xf>
    <xf numFmtId="0" fontId="7" fillId="5" borderId="3" xfId="0" applyFont="1" applyFill="1" applyBorder="1" applyAlignment="1">
      <alignment vertical="top" wrapText="1"/>
    </xf>
    <xf numFmtId="0" fontId="7" fillId="5" borderId="1" xfId="0" applyFont="1" applyFill="1" applyBorder="1" applyAlignment="1">
      <alignment vertical="top" wrapText="1"/>
    </xf>
    <xf numFmtId="0" fontId="7" fillId="5" borderId="2" xfId="0" applyFont="1" applyFill="1" applyBorder="1" applyAlignment="1">
      <alignment vertical="top" wrapText="1"/>
    </xf>
    <xf numFmtId="0" fontId="8" fillId="6" borderId="4" xfId="0" applyFont="1" applyFill="1" applyBorder="1" applyAlignment="1">
      <alignment vertical="top" wrapText="1"/>
    </xf>
    <xf numFmtId="0" fontId="8" fillId="6" borderId="3" xfId="0" applyFont="1" applyFill="1" applyBorder="1" applyAlignment="1">
      <alignment vertical="top" wrapText="1"/>
    </xf>
    <xf numFmtId="0" fontId="8" fillId="6" borderId="1" xfId="0" applyFont="1" applyFill="1" applyBorder="1" applyAlignment="1">
      <alignment vertical="top" wrapText="1"/>
    </xf>
    <xf numFmtId="0" fontId="5" fillId="3" borderId="1" xfId="0" applyFont="1" applyFill="1" applyBorder="1" applyAlignment="1">
      <alignment vertical="top" wrapText="1"/>
    </xf>
    <xf numFmtId="0" fontId="5" fillId="3" borderId="1" xfId="0" applyFont="1" applyFill="1" applyBorder="1" applyAlignment="1">
      <alignment horizontal="center" vertical="top" wrapText="1"/>
    </xf>
    <xf numFmtId="0" fontId="6" fillId="3" borderId="1" xfId="0" applyFont="1" applyFill="1" applyBorder="1" applyAlignment="1">
      <alignment horizontal="center" vertical="center" wrapText="1"/>
    </xf>
    <xf numFmtId="0" fontId="8" fillId="6" borderId="2" xfId="0" applyFont="1" applyFill="1" applyBorder="1" applyAlignment="1">
      <alignment vertical="top" wrapText="1"/>
    </xf>
    <xf numFmtId="0" fontId="9" fillId="7" borderId="4" xfId="0" applyFont="1" applyFill="1" applyBorder="1" applyAlignment="1">
      <alignment vertical="top" wrapText="1"/>
    </xf>
    <xf numFmtId="0" fontId="9" fillId="7" borderId="3" xfId="0" applyFont="1" applyFill="1" applyBorder="1" applyAlignment="1">
      <alignment vertical="top" wrapText="1"/>
    </xf>
    <xf numFmtId="0" fontId="9" fillId="7" borderId="1" xfId="0" applyFont="1" applyFill="1" applyBorder="1" applyAlignment="1">
      <alignment vertical="top" wrapText="1"/>
    </xf>
    <xf numFmtId="0" fontId="9" fillId="7" borderId="2" xfId="0" applyFont="1" applyFill="1" applyBorder="1" applyAlignment="1">
      <alignment vertical="top" wrapText="1"/>
    </xf>
    <xf numFmtId="0" fontId="10" fillId="8" borderId="4" xfId="0" applyFont="1" applyFill="1" applyBorder="1" applyAlignment="1">
      <alignment vertical="top" wrapText="1"/>
    </xf>
    <xf numFmtId="0" fontId="10" fillId="8" borderId="5" xfId="0" applyFont="1" applyFill="1" applyBorder="1" applyAlignment="1">
      <alignment vertical="top" wrapText="1"/>
    </xf>
    <xf numFmtId="0" fontId="5" fillId="3" borderId="5" xfId="0" applyFont="1" applyFill="1" applyBorder="1" applyAlignment="1">
      <alignment vertical="top" wrapText="1"/>
    </xf>
    <xf numFmtId="0" fontId="5" fillId="3" borderId="5" xfId="0" applyFont="1" applyFill="1" applyBorder="1" applyAlignment="1">
      <alignment horizontal="center" vertical="top" wrapText="1"/>
    </xf>
    <xf numFmtId="0" fontId="6" fillId="3" borderId="5" xfId="0" applyFont="1" applyFill="1" applyBorder="1" applyAlignment="1">
      <alignment horizontal="center" vertical="center" wrapText="1"/>
    </xf>
    <xf numFmtId="0" fontId="11" fillId="9" borderId="6" xfId="0" applyFont="1" applyFill="1" applyBorder="1" applyAlignment="1">
      <alignment vertical="top" wrapText="1"/>
    </xf>
    <xf numFmtId="0" fontId="5" fillId="0" borderId="6" xfId="0" applyFont="1" applyBorder="1" applyAlignment="1">
      <alignment vertical="top" wrapText="1"/>
    </xf>
    <xf numFmtId="0" fontId="5" fillId="0" borderId="6" xfId="0" applyFont="1" applyBorder="1" applyAlignment="1">
      <alignment horizontal="center" vertical="top" wrapText="1"/>
    </xf>
    <xf numFmtId="0" fontId="6" fillId="0" borderId="6" xfId="0" applyFont="1" applyBorder="1" applyAlignment="1">
      <alignment horizontal="center" vertical="center" wrapText="1"/>
    </xf>
    <xf numFmtId="0" fontId="11" fillId="9" borderId="7" xfId="0" applyFont="1" applyFill="1" applyBorder="1" applyAlignment="1">
      <alignment vertical="top" wrapText="1"/>
    </xf>
    <xf numFmtId="0" fontId="5" fillId="3" borderId="7" xfId="0" applyFont="1" applyFill="1" applyBorder="1" applyAlignment="1">
      <alignment vertical="top" wrapText="1"/>
    </xf>
    <xf numFmtId="0" fontId="5" fillId="3" borderId="7" xfId="0" applyFont="1" applyFill="1" applyBorder="1" applyAlignment="1">
      <alignment horizontal="center" vertical="top" wrapText="1"/>
    </xf>
    <xf numFmtId="0" fontId="6" fillId="3" borderId="7" xfId="0" applyFont="1" applyFill="1" applyBorder="1" applyAlignment="1">
      <alignment horizontal="center" vertical="center" wrapText="1"/>
    </xf>
    <xf numFmtId="0" fontId="12" fillId="0" borderId="0" xfId="0" applyFont="1"/>
    <xf numFmtId="0" fontId="5" fillId="0" borderId="0" xfId="0" applyFont="1"/>
    <xf numFmtId="0" fontId="5" fillId="0" borderId="0" xfId="0" applyFont="1"/>
    <xf numFmtId="0" fontId="3" fillId="2" borderId="1" xfId="0" applyFont="1" applyFill="1" applyBorder="1" applyAlignment="1">
      <alignment horizontal="center" vertical="top" wrapText="1"/>
    </xf>
    <xf numFmtId="0" fontId="3" fillId="2" borderId="1" xfId="0" applyFont="1" applyFill="1" applyBorder="1" applyAlignment="1">
      <alignment horizontal="left" vertical="top" wrapText="1"/>
    </xf>
    <xf numFmtId="0" fontId="13" fillId="0" borderId="1" xfId="0" applyFont="1" applyBorder="1" applyAlignment="1">
      <alignment horizontal="center" vertical="top" wrapText="1"/>
    </xf>
    <xf numFmtId="0" fontId="13" fillId="3" borderId="1" xfId="0" applyFont="1" applyFill="1" applyBorder="1" applyAlignment="1">
      <alignment horizontal="center" vertical="top" wrapText="1"/>
    </xf>
    <xf numFmtId="0" fontId="10" fillId="8" borderId="1" xfId="0" applyFont="1" applyFill="1" applyBorder="1" applyAlignment="1">
      <alignment vertical="top" wrapText="1"/>
    </xf>
    <xf numFmtId="0" fontId="13" fillId="0" borderId="2" xfId="0" applyFont="1" applyBorder="1" applyAlignment="1">
      <alignment horizontal="center" vertical="top" wrapText="1"/>
    </xf>
    <xf numFmtId="0" fontId="5" fillId="0" borderId="2" xfId="0" applyFont="1" applyBorder="1" applyAlignment="1">
      <alignment vertical="top" wrapText="1"/>
    </xf>
    <xf numFmtId="0" fontId="5" fillId="0" borderId="2" xfId="0" applyFont="1" applyBorder="1" applyAlignment="1">
      <alignment horizontal="center" vertical="top" wrapText="1"/>
    </xf>
    <xf numFmtId="0" fontId="13" fillId="3" borderId="7" xfId="0" applyFont="1" applyFill="1" applyBorder="1" applyAlignment="1">
      <alignment horizontal="center" vertical="top" wrapText="1"/>
    </xf>
    <xf numFmtId="0" fontId="4" fillId="4" borderId="7" xfId="0" applyFont="1" applyFill="1" applyBorder="1" applyAlignment="1">
      <alignment vertical="top" wrapText="1"/>
    </xf>
    <xf numFmtId="0" fontId="14" fillId="0" borderId="0" xfId="0" applyFont="1"/>
    <xf numFmtId="0" fontId="5"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5" fillId="3" borderId="7"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3" fillId="10" borderId="1" xfId="0" applyFont="1" applyFill="1" applyBorder="1" applyAlignment="1">
      <alignment horizontal="center"/>
    </xf>
    <xf numFmtId="0" fontId="13" fillId="0" borderId="1" xfId="0" applyFont="1" applyBorder="1" applyAlignment="1">
      <alignment horizontal="center" vertical="center"/>
    </xf>
    <xf numFmtId="0" fontId="3" fillId="11" borderId="1" xfId="0" applyFont="1" applyFill="1" applyBorder="1" applyAlignment="1">
      <alignment horizontal="center"/>
    </xf>
    <xf numFmtId="0" fontId="15" fillId="12" borderId="1" xfId="0" applyFont="1" applyFill="1" applyBorder="1" applyAlignment="1">
      <alignment horizontal="center"/>
    </xf>
    <xf numFmtId="0" fontId="15" fillId="13" borderId="1" xfId="0" applyFont="1" applyFill="1" applyBorder="1" applyAlignment="1">
      <alignment horizontal="center"/>
    </xf>
  </cellXfs>
  <cellStyles count="1">
    <cellStyle name="Normal" xfId="0" builtinId="0"/>
  </cellStyles>
  <dxfs count="25">
    <dxf>
      <font>
        <b/>
        <i val="0"/>
        <color rgb="FF000000"/>
      </font>
      <fill>
        <patternFill patternType="solid">
          <fgColor indexed="64"/>
          <bgColor rgb="FFA9D08E"/>
        </patternFill>
      </fill>
    </dxf>
    <dxf>
      <font>
        <b/>
        <i val="0"/>
        <color rgb="FF000000"/>
      </font>
      <fill>
        <patternFill patternType="solid">
          <fgColor indexed="64"/>
          <bgColor rgb="FFFFD966"/>
        </patternFill>
      </fill>
    </dxf>
    <dxf>
      <font>
        <b/>
        <i val="0"/>
        <color rgb="FFFFFFFF"/>
      </font>
      <fill>
        <patternFill patternType="solid">
          <fgColor indexed="64"/>
          <bgColor rgb="FFED7D31"/>
        </patternFill>
      </fill>
    </dxf>
    <dxf>
      <font>
        <b/>
        <i val="0"/>
        <color rgb="FFFFFFFF"/>
      </font>
      <fill>
        <patternFill patternType="solid">
          <fgColor indexed="64"/>
          <bgColor rgb="FFC00000"/>
        </patternFill>
      </fill>
    </dxf>
    <dxf>
      <font>
        <b/>
        <i val="0"/>
        <color rgb="FF000000"/>
      </font>
      <fill>
        <patternFill patternType="solid">
          <fgColor indexed="64"/>
          <bgColor rgb="FFA9D08E"/>
        </patternFill>
      </fill>
    </dxf>
    <dxf>
      <font>
        <b/>
        <i val="0"/>
        <color rgb="FF000000"/>
      </font>
      <fill>
        <patternFill patternType="solid">
          <fgColor indexed="64"/>
          <bgColor rgb="FFFFD966"/>
        </patternFill>
      </fill>
    </dxf>
    <dxf>
      <font>
        <b/>
        <i val="0"/>
        <color rgb="FFFFFFFF"/>
      </font>
      <fill>
        <patternFill patternType="solid">
          <fgColor indexed="64"/>
          <bgColor rgb="FFED7D31"/>
        </patternFill>
      </fill>
    </dxf>
    <dxf>
      <font>
        <b/>
        <i val="0"/>
        <color rgb="FFFFFFFF"/>
      </font>
      <fill>
        <patternFill patternType="solid">
          <fgColor indexed="64"/>
          <bgColor rgb="FFC00000"/>
        </patternFill>
      </fill>
    </dxf>
    <dxf>
      <font>
        <b/>
        <i val="0"/>
        <color rgb="FFFFFFFF"/>
      </font>
      <fill>
        <patternFill patternType="solid">
          <fgColor indexed="64"/>
          <bgColor rgb="FF548235"/>
        </patternFill>
      </fill>
    </dxf>
    <dxf>
      <font>
        <b/>
        <i val="0"/>
        <color rgb="FF000000"/>
      </font>
      <fill>
        <patternFill patternType="solid">
          <fgColor indexed="64"/>
          <bgColor rgb="FFA9D08E"/>
        </patternFill>
      </fill>
    </dxf>
    <dxf>
      <font>
        <b/>
        <i val="0"/>
        <color rgb="FF000000"/>
      </font>
      <fill>
        <patternFill patternType="solid">
          <fgColor indexed="64"/>
          <bgColor rgb="FFFFD966"/>
        </patternFill>
      </fill>
    </dxf>
    <dxf>
      <font>
        <b/>
        <i val="0"/>
        <color rgb="FFFFFFFF"/>
      </font>
      <fill>
        <patternFill patternType="solid">
          <fgColor indexed="64"/>
          <bgColor rgb="FFED7D31"/>
        </patternFill>
      </fill>
    </dxf>
    <dxf>
      <font>
        <b/>
        <i val="0"/>
        <color rgb="FFFFFFFF"/>
      </font>
      <fill>
        <patternFill patternType="solid">
          <fgColor indexed="64"/>
          <bgColor rgb="FFC00000"/>
        </patternFill>
      </fill>
    </dxf>
    <dxf>
      <font>
        <b/>
        <color rgb="FFFFFFFF"/>
      </font>
      <fill>
        <patternFill patternType="solid">
          <fgColor rgb="FF70AD47"/>
        </patternFill>
      </fill>
    </dxf>
    <dxf>
      <fill>
        <patternFill patternType="solid">
          <fgColor rgb="FFFFC000"/>
        </patternFill>
      </fill>
    </dxf>
    <dxf>
      <font>
        <b/>
        <color rgb="FFFFFFFF"/>
      </font>
      <fill>
        <patternFill patternType="solid">
          <fgColor rgb="FFED7D31"/>
        </patternFill>
      </fill>
    </dxf>
    <dxf>
      <font>
        <b/>
        <color rgb="FFFFFFFF"/>
      </font>
      <fill>
        <patternFill patternType="solid">
          <fgColor rgb="FFC00000"/>
        </patternFill>
      </fill>
    </dxf>
    <dxf>
      <font>
        <b/>
        <color rgb="FFFFFFFF"/>
      </font>
      <fill>
        <patternFill patternType="solid">
          <fgColor rgb="FF70AD47"/>
        </patternFill>
      </fill>
    </dxf>
    <dxf>
      <fill>
        <patternFill patternType="solid">
          <fgColor rgb="FFFFC000"/>
        </patternFill>
      </fill>
    </dxf>
    <dxf>
      <font>
        <b/>
        <color rgb="FFFFFFFF"/>
      </font>
      <fill>
        <patternFill patternType="solid">
          <fgColor rgb="FFED7D31"/>
        </patternFill>
      </fill>
    </dxf>
    <dxf>
      <font>
        <b/>
        <color rgb="FFFFFFFF"/>
      </font>
      <fill>
        <patternFill patternType="solid">
          <fgColor rgb="FFC00000"/>
        </patternFill>
      </fill>
    </dxf>
    <dxf>
      <font>
        <b/>
        <color rgb="FFFFFFFF"/>
      </font>
      <fill>
        <patternFill patternType="solid">
          <fgColor rgb="FF70AD47"/>
        </patternFill>
      </fill>
    </dxf>
    <dxf>
      <fill>
        <patternFill patternType="solid">
          <fgColor rgb="FFFFC000"/>
        </patternFill>
      </fill>
    </dxf>
    <dxf>
      <font>
        <b/>
        <color rgb="FFFFFFFF"/>
      </font>
      <fill>
        <patternFill patternType="solid">
          <fgColor rgb="FFED7D31"/>
        </patternFill>
      </fill>
    </dxf>
    <dxf>
      <font>
        <b/>
        <color rgb="FFFFFFFF"/>
      </font>
      <fill>
        <patternFill patternType="solid">
          <fgColor rgb="FFC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6785BF-B338-D44B-9EA8-B76F1B705B27}">
  <we:reference id="wa200009404" version="1.0.0.8" store="en-US" storeType="OMEX"/>
  <we:alternateReferences>
    <we:reference id="wa200009404" version="1.0.0.8" store="en-US" storeType="OMEX"/>
  </we:alternateReferences>
  <we:properties>
    <we:property name="claude.fileId" value="&quot;db17e393-1077-48da-9213-4dcb1bdeae8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abSelected="1" workbookViewId="0">
      <pane ySplit="4" topLeftCell="A5" activePane="bottomLeft" state="frozen"/>
      <selection pane="bottomLeft" activeCell="C11" sqref="C11"/>
    </sheetView>
  </sheetViews>
  <sheetFormatPr baseColWidth="10" defaultColWidth="8.83203125" defaultRowHeight="15" x14ac:dyDescent="0.2"/>
  <cols>
    <col min="1" max="1" width="15.83203125" customWidth="1"/>
    <col min="2" max="2" width="30.83203125" customWidth="1"/>
    <col min="3" max="3" width="43.33203125" customWidth="1"/>
    <col min="4" max="4" width="17.5" customWidth="1"/>
    <col min="5" max="5" width="48.33203125" customWidth="1"/>
    <col min="6" max="6" width="12.5" customWidth="1"/>
    <col min="7" max="7" width="36.6640625" customWidth="1"/>
  </cols>
  <sheetData>
    <row r="1" spans="1:7" ht="21" x14ac:dyDescent="0.25">
      <c r="A1" s="3" t="s">
        <v>0</v>
      </c>
      <c r="B1" s="2"/>
      <c r="C1" s="2"/>
      <c r="D1" s="2"/>
      <c r="E1" s="2"/>
      <c r="F1" s="2"/>
      <c r="G1" s="2"/>
    </row>
    <row r="2" spans="1:7" x14ac:dyDescent="0.2">
      <c r="A2" s="1" t="s">
        <v>1</v>
      </c>
      <c r="B2" s="2"/>
      <c r="C2" s="2"/>
      <c r="D2" s="2"/>
      <c r="E2" s="2"/>
      <c r="F2" s="2"/>
      <c r="G2" s="2"/>
    </row>
    <row r="4" spans="1:7" ht="35" thickBot="1" x14ac:dyDescent="0.25">
      <c r="A4" s="4" t="s">
        <v>2</v>
      </c>
      <c r="B4" s="4" t="s">
        <v>3</v>
      </c>
      <c r="C4" s="4" t="s">
        <v>4</v>
      </c>
      <c r="D4" s="5" t="s">
        <v>5</v>
      </c>
      <c r="E4" s="4" t="s">
        <v>6</v>
      </c>
      <c r="F4" s="5" t="s">
        <v>7</v>
      </c>
      <c r="G4" s="4" t="s">
        <v>8</v>
      </c>
    </row>
    <row r="5" spans="1:7" ht="34" x14ac:dyDescent="0.2">
      <c r="A5" s="6" t="s">
        <v>9</v>
      </c>
      <c r="B5" s="7" t="s">
        <v>10</v>
      </c>
      <c r="C5" s="7" t="s">
        <v>11</v>
      </c>
      <c r="D5" s="8" t="s">
        <v>12</v>
      </c>
      <c r="E5" s="7" t="s">
        <v>13</v>
      </c>
      <c r="F5" s="9">
        <v>1</v>
      </c>
      <c r="G5" s="7" t="s">
        <v>14</v>
      </c>
    </row>
    <row r="6" spans="1:7" ht="34" x14ac:dyDescent="0.2">
      <c r="A6" s="10" t="s">
        <v>9</v>
      </c>
      <c r="B6" s="11" t="s">
        <v>15</v>
      </c>
      <c r="C6" s="11" t="s">
        <v>16</v>
      </c>
      <c r="D6" s="12" t="s">
        <v>17</v>
      </c>
      <c r="E6" s="11" t="s">
        <v>18</v>
      </c>
      <c r="F6" s="13">
        <v>1</v>
      </c>
      <c r="G6" s="11" t="s">
        <v>19</v>
      </c>
    </row>
    <row r="7" spans="1:7" ht="34" x14ac:dyDescent="0.2">
      <c r="A7" s="14" t="s">
        <v>9</v>
      </c>
      <c r="B7" s="15" t="s">
        <v>20</v>
      </c>
      <c r="C7" s="15" t="s">
        <v>21</v>
      </c>
      <c r="D7" s="16" t="s">
        <v>22</v>
      </c>
      <c r="E7" s="15" t="s">
        <v>23</v>
      </c>
      <c r="F7" s="17">
        <v>1</v>
      </c>
      <c r="G7" s="15" t="s">
        <v>24</v>
      </c>
    </row>
    <row r="8" spans="1:7" ht="35" thickBot="1" x14ac:dyDescent="0.25">
      <c r="A8" s="18" t="s">
        <v>9</v>
      </c>
      <c r="B8" s="19" t="s">
        <v>25</v>
      </c>
      <c r="C8" s="19" t="s">
        <v>26</v>
      </c>
      <c r="D8" s="20" t="s">
        <v>27</v>
      </c>
      <c r="E8" s="19" t="s">
        <v>28</v>
      </c>
      <c r="F8" s="21">
        <v>1</v>
      </c>
      <c r="G8" s="19" t="s">
        <v>29</v>
      </c>
    </row>
    <row r="9" spans="1:7" ht="34" x14ac:dyDescent="0.2">
      <c r="A9" s="22" t="s">
        <v>30</v>
      </c>
      <c r="B9" s="7" t="s">
        <v>31</v>
      </c>
      <c r="C9" s="7" t="s">
        <v>32</v>
      </c>
      <c r="D9" s="8" t="s">
        <v>33</v>
      </c>
      <c r="E9" s="7" t="s">
        <v>34</v>
      </c>
      <c r="F9" s="9">
        <v>2</v>
      </c>
      <c r="G9" s="7" t="s">
        <v>35</v>
      </c>
    </row>
    <row r="10" spans="1:7" ht="34" x14ac:dyDescent="0.2">
      <c r="A10" s="23" t="s">
        <v>30</v>
      </c>
      <c r="B10" s="11" t="s">
        <v>31</v>
      </c>
      <c r="C10" s="11" t="s">
        <v>36</v>
      </c>
      <c r="D10" s="12" t="s">
        <v>37</v>
      </c>
      <c r="E10" s="11" t="s">
        <v>38</v>
      </c>
      <c r="F10" s="13">
        <v>1</v>
      </c>
      <c r="G10" s="11" t="s">
        <v>39</v>
      </c>
    </row>
    <row r="11" spans="1:7" ht="34" x14ac:dyDescent="0.2">
      <c r="A11" s="24" t="s">
        <v>30</v>
      </c>
      <c r="B11" s="15" t="s">
        <v>40</v>
      </c>
      <c r="C11" s="15" t="s">
        <v>41</v>
      </c>
      <c r="D11" s="16" t="s">
        <v>42</v>
      </c>
      <c r="E11" s="15" t="s">
        <v>43</v>
      </c>
      <c r="F11" s="17">
        <v>1</v>
      </c>
      <c r="G11" s="15" t="s">
        <v>44</v>
      </c>
    </row>
    <row r="12" spans="1:7" ht="35" thickBot="1" x14ac:dyDescent="0.25">
      <c r="A12" s="25" t="s">
        <v>30</v>
      </c>
      <c r="B12" s="19" t="s">
        <v>45</v>
      </c>
      <c r="C12" s="19" t="s">
        <v>46</v>
      </c>
      <c r="D12" s="20" t="s">
        <v>47</v>
      </c>
      <c r="E12" s="19" t="s">
        <v>48</v>
      </c>
      <c r="F12" s="21">
        <v>1</v>
      </c>
      <c r="G12" s="19" t="s">
        <v>49</v>
      </c>
    </row>
    <row r="13" spans="1:7" ht="34" x14ac:dyDescent="0.2">
      <c r="A13" s="26" t="s">
        <v>50</v>
      </c>
      <c r="B13" s="7" t="s">
        <v>51</v>
      </c>
      <c r="C13" s="7" t="s">
        <v>52</v>
      </c>
      <c r="D13" s="8" t="s">
        <v>53</v>
      </c>
      <c r="E13" s="7" t="s">
        <v>54</v>
      </c>
      <c r="F13" s="9">
        <v>2</v>
      </c>
      <c r="G13" s="7" t="s">
        <v>55</v>
      </c>
    </row>
    <row r="14" spans="1:7" ht="34" x14ac:dyDescent="0.2">
      <c r="A14" s="27" t="s">
        <v>50</v>
      </c>
      <c r="B14" s="11" t="s">
        <v>51</v>
      </c>
      <c r="C14" s="11" t="s">
        <v>56</v>
      </c>
      <c r="D14" s="12" t="s">
        <v>57</v>
      </c>
      <c r="E14" s="11" t="s">
        <v>58</v>
      </c>
      <c r="F14" s="13">
        <v>1</v>
      </c>
      <c r="G14" s="11" t="s">
        <v>59</v>
      </c>
    </row>
    <row r="15" spans="1:7" ht="34" x14ac:dyDescent="0.2">
      <c r="A15" s="28" t="s">
        <v>50</v>
      </c>
      <c r="B15" s="15" t="s">
        <v>60</v>
      </c>
      <c r="C15" s="15" t="s">
        <v>61</v>
      </c>
      <c r="D15" s="16" t="s">
        <v>62</v>
      </c>
      <c r="E15" s="15" t="s">
        <v>63</v>
      </c>
      <c r="F15" s="17">
        <v>1</v>
      </c>
      <c r="G15" s="15" t="s">
        <v>64</v>
      </c>
    </row>
    <row r="16" spans="1:7" ht="34" x14ac:dyDescent="0.2">
      <c r="A16" s="28" t="s">
        <v>50</v>
      </c>
      <c r="B16" s="29" t="s">
        <v>65</v>
      </c>
      <c r="C16" s="29" t="s">
        <v>66</v>
      </c>
      <c r="D16" s="30" t="s">
        <v>47</v>
      </c>
      <c r="E16" s="29" t="s">
        <v>67</v>
      </c>
      <c r="F16" s="31">
        <v>2</v>
      </c>
      <c r="G16" s="29" t="s">
        <v>68</v>
      </c>
    </row>
    <row r="17" spans="1:7" ht="34" x14ac:dyDescent="0.2">
      <c r="A17" s="28" t="s">
        <v>50</v>
      </c>
      <c r="B17" s="15" t="s">
        <v>69</v>
      </c>
      <c r="C17" s="15" t="s">
        <v>70</v>
      </c>
      <c r="D17" s="16" t="s">
        <v>71</v>
      </c>
      <c r="E17" s="15" t="s">
        <v>72</v>
      </c>
      <c r="F17" s="17">
        <v>1</v>
      </c>
      <c r="G17" s="15" t="s">
        <v>73</v>
      </c>
    </row>
    <row r="18" spans="1:7" ht="18" thickBot="1" x14ac:dyDescent="0.25">
      <c r="A18" s="32" t="s">
        <v>50</v>
      </c>
      <c r="B18" s="19" t="s">
        <v>74</v>
      </c>
      <c r="C18" s="19" t="s">
        <v>75</v>
      </c>
      <c r="D18" s="20" t="s">
        <v>76</v>
      </c>
      <c r="E18" s="19" t="s">
        <v>77</v>
      </c>
      <c r="F18" s="21">
        <v>1</v>
      </c>
      <c r="G18" s="19" t="s">
        <v>78</v>
      </c>
    </row>
    <row r="19" spans="1:7" ht="34" x14ac:dyDescent="0.2">
      <c r="A19" s="33" t="s">
        <v>79</v>
      </c>
      <c r="B19" s="7" t="s">
        <v>80</v>
      </c>
      <c r="C19" s="7" t="s">
        <v>81</v>
      </c>
      <c r="D19" s="8" t="s">
        <v>82</v>
      </c>
      <c r="E19" s="7" t="s">
        <v>83</v>
      </c>
      <c r="F19" s="9">
        <v>2</v>
      </c>
      <c r="G19" s="7" t="s">
        <v>84</v>
      </c>
    </row>
    <row r="20" spans="1:7" ht="34" x14ac:dyDescent="0.2">
      <c r="A20" s="34" t="s">
        <v>79</v>
      </c>
      <c r="B20" s="11" t="s">
        <v>80</v>
      </c>
      <c r="C20" s="11" t="s">
        <v>85</v>
      </c>
      <c r="D20" s="12" t="s">
        <v>86</v>
      </c>
      <c r="E20" s="11" t="s">
        <v>87</v>
      </c>
      <c r="F20" s="13">
        <v>1</v>
      </c>
      <c r="G20" s="11" t="s">
        <v>88</v>
      </c>
    </row>
    <row r="21" spans="1:7" ht="17" x14ac:dyDescent="0.2">
      <c r="A21" s="35" t="s">
        <v>79</v>
      </c>
      <c r="B21" s="15" t="s">
        <v>89</v>
      </c>
      <c r="C21" s="15" t="s">
        <v>90</v>
      </c>
      <c r="D21" s="16" t="s">
        <v>86</v>
      </c>
      <c r="E21" s="15" t="s">
        <v>91</v>
      </c>
      <c r="F21" s="17">
        <v>1</v>
      </c>
      <c r="G21" s="15" t="s">
        <v>92</v>
      </c>
    </row>
    <row r="22" spans="1:7" ht="35" thickBot="1" x14ac:dyDescent="0.25">
      <c r="A22" s="36" t="s">
        <v>79</v>
      </c>
      <c r="B22" s="19" t="s">
        <v>80</v>
      </c>
      <c r="C22" s="19" t="s">
        <v>93</v>
      </c>
      <c r="D22" s="20" t="s">
        <v>94</v>
      </c>
      <c r="E22" s="19" t="s">
        <v>95</v>
      </c>
      <c r="F22" s="21">
        <v>1</v>
      </c>
      <c r="G22" s="19" t="s">
        <v>96</v>
      </c>
    </row>
    <row r="23" spans="1:7" ht="34" x14ac:dyDescent="0.2">
      <c r="A23" s="37" t="s">
        <v>97</v>
      </c>
      <c r="B23" s="7" t="s">
        <v>98</v>
      </c>
      <c r="C23" s="7" t="s">
        <v>99</v>
      </c>
      <c r="D23" s="8" t="s">
        <v>100</v>
      </c>
      <c r="E23" s="7" t="s">
        <v>101</v>
      </c>
      <c r="F23" s="9">
        <v>1</v>
      </c>
      <c r="G23" s="7" t="s">
        <v>102</v>
      </c>
    </row>
    <row r="24" spans="1:7" ht="35" thickBot="1" x14ac:dyDescent="0.25">
      <c r="A24" s="38" t="s">
        <v>97</v>
      </c>
      <c r="B24" s="39" t="s">
        <v>103</v>
      </c>
      <c r="C24" s="39" t="s">
        <v>104</v>
      </c>
      <c r="D24" s="40" t="s">
        <v>100</v>
      </c>
      <c r="E24" s="39" t="s">
        <v>105</v>
      </c>
      <c r="F24" s="41">
        <v>1</v>
      </c>
      <c r="G24" s="39" t="s">
        <v>106</v>
      </c>
    </row>
    <row r="25" spans="1:7" ht="17" x14ac:dyDescent="0.2">
      <c r="A25" s="42" t="s">
        <v>107</v>
      </c>
      <c r="B25" s="43" t="s">
        <v>108</v>
      </c>
      <c r="C25" s="43" t="s">
        <v>109</v>
      </c>
      <c r="D25" s="44" t="s">
        <v>76</v>
      </c>
      <c r="E25" s="43" t="s">
        <v>110</v>
      </c>
      <c r="F25" s="45">
        <v>1</v>
      </c>
      <c r="G25" s="43" t="s">
        <v>111</v>
      </c>
    </row>
    <row r="26" spans="1:7" ht="35" thickBot="1" x14ac:dyDescent="0.25">
      <c r="A26" s="46" t="s">
        <v>107</v>
      </c>
      <c r="B26" s="47" t="s">
        <v>112</v>
      </c>
      <c r="C26" s="47" t="s">
        <v>113</v>
      </c>
      <c r="D26" s="48" t="s">
        <v>100</v>
      </c>
      <c r="E26" s="47" t="s">
        <v>114</v>
      </c>
      <c r="F26" s="49">
        <v>1</v>
      </c>
      <c r="G26" s="47" t="s">
        <v>115</v>
      </c>
    </row>
  </sheetData>
  <autoFilter ref="A4:G26" xr:uid="{00000000-0009-0000-0000-000000000000}"/>
  <mergeCells count="2">
    <mergeCell ref="A2:G2"/>
    <mergeCell ref="A1:G1"/>
  </mergeCells>
  <conditionalFormatting sqref="F5:F26">
    <cfRule type="cellIs" dxfId="12" priority="1" operator="equal">
      <formula>1</formula>
    </cfRule>
  </conditionalFormatting>
  <conditionalFormatting sqref="F5:F26">
    <cfRule type="cellIs" dxfId="11" priority="2" operator="equal">
      <formula>2</formula>
    </cfRule>
  </conditionalFormatting>
  <conditionalFormatting sqref="F5:F26">
    <cfRule type="cellIs" dxfId="10" priority="3" operator="equal">
      <formula>3</formula>
    </cfRule>
  </conditionalFormatting>
  <conditionalFormatting sqref="F5:F26">
    <cfRule type="cellIs" dxfId="9" priority="4" operator="equal">
      <formula>4</formula>
    </cfRule>
  </conditionalFormatting>
  <conditionalFormatting sqref="F5:F26">
    <cfRule type="cellIs" dxfId="8" priority="5" operator="equal">
      <formula>5</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workbookViewId="0">
      <pane ySplit="4" topLeftCell="A5" activePane="bottomLeft" state="frozen"/>
      <selection pane="bottomLeft" activeCell="D15" sqref="D15"/>
    </sheetView>
  </sheetViews>
  <sheetFormatPr baseColWidth="10" defaultColWidth="8.83203125" defaultRowHeight="15" x14ac:dyDescent="0.2"/>
  <cols>
    <col min="1" max="1" width="10.33203125" customWidth="1"/>
    <col min="2" max="2" width="26.6640625" customWidth="1"/>
    <col min="3" max="3" width="55" customWidth="1"/>
    <col min="4" max="4" width="31.6640625" customWidth="1"/>
    <col min="5" max="5" width="25" customWidth="1"/>
    <col min="6" max="6" width="30.83203125" customWidth="1"/>
    <col min="7" max="7" width="15.83203125" customWidth="1"/>
    <col min="8" max="8" width="35" customWidth="1"/>
  </cols>
  <sheetData>
    <row r="1" spans="1:8" ht="21" x14ac:dyDescent="0.25">
      <c r="A1" s="3" t="s">
        <v>116</v>
      </c>
      <c r="B1" s="2"/>
      <c r="C1" s="2"/>
      <c r="D1" s="2"/>
      <c r="E1" s="2"/>
      <c r="F1" s="2"/>
      <c r="G1" s="2"/>
      <c r="H1" s="2"/>
    </row>
    <row r="2" spans="1:8" ht="16" x14ac:dyDescent="0.2">
      <c r="A2" s="50" t="s">
        <v>117</v>
      </c>
      <c r="B2" s="51"/>
      <c r="C2" s="51"/>
      <c r="D2" s="51"/>
      <c r="E2" s="51"/>
      <c r="F2" s="51"/>
      <c r="G2" s="51"/>
      <c r="H2" s="51"/>
    </row>
    <row r="3" spans="1:8" ht="16" x14ac:dyDescent="0.2">
      <c r="A3" s="52"/>
      <c r="B3" s="52"/>
      <c r="C3" s="52"/>
      <c r="D3" s="52"/>
      <c r="E3" s="52"/>
      <c r="F3" s="52"/>
      <c r="G3" s="52"/>
      <c r="H3" s="52"/>
    </row>
    <row r="4" spans="1:8" ht="34" x14ac:dyDescent="0.2">
      <c r="A4" s="53" t="s">
        <v>118</v>
      </c>
      <c r="B4" s="54" t="s">
        <v>119</v>
      </c>
      <c r="C4" s="54" t="s">
        <v>120</v>
      </c>
      <c r="D4" s="54" t="s">
        <v>121</v>
      </c>
      <c r="E4" s="54" t="s">
        <v>122</v>
      </c>
      <c r="F4" s="54" t="s">
        <v>123</v>
      </c>
      <c r="G4" s="53" t="s">
        <v>124</v>
      </c>
      <c r="H4" s="54" t="s">
        <v>125</v>
      </c>
    </row>
    <row r="5" spans="1:8" ht="68" x14ac:dyDescent="0.2">
      <c r="A5" s="55" t="s">
        <v>126</v>
      </c>
      <c r="B5" s="15" t="s">
        <v>127</v>
      </c>
      <c r="C5" s="15" t="s">
        <v>128</v>
      </c>
      <c r="D5" s="15" t="s">
        <v>129</v>
      </c>
      <c r="E5" s="15" t="s">
        <v>130</v>
      </c>
      <c r="F5" s="28" t="s">
        <v>131</v>
      </c>
      <c r="G5" s="16" t="s">
        <v>132</v>
      </c>
      <c r="H5" s="15" t="s">
        <v>133</v>
      </c>
    </row>
    <row r="6" spans="1:8" ht="68" x14ac:dyDescent="0.2">
      <c r="A6" s="56" t="s">
        <v>134</v>
      </c>
      <c r="B6" s="29" t="s">
        <v>135</v>
      </c>
      <c r="C6" s="29" t="s">
        <v>136</v>
      </c>
      <c r="D6" s="29" t="s">
        <v>137</v>
      </c>
      <c r="E6" s="29" t="s">
        <v>138</v>
      </c>
      <c r="F6" s="28" t="s">
        <v>139</v>
      </c>
      <c r="G6" s="30" t="s">
        <v>140</v>
      </c>
      <c r="H6" s="29" t="s">
        <v>141</v>
      </c>
    </row>
    <row r="7" spans="1:8" ht="85" x14ac:dyDescent="0.2">
      <c r="A7" s="55" t="s">
        <v>142</v>
      </c>
      <c r="B7" s="15" t="s">
        <v>143</v>
      </c>
      <c r="C7" s="15" t="s">
        <v>144</v>
      </c>
      <c r="D7" s="15" t="s">
        <v>145</v>
      </c>
      <c r="E7" s="15" t="s">
        <v>146</v>
      </c>
      <c r="F7" s="24" t="s">
        <v>147</v>
      </c>
      <c r="G7" s="16" t="s">
        <v>148</v>
      </c>
      <c r="H7" s="15" t="s">
        <v>149</v>
      </c>
    </row>
    <row r="8" spans="1:8" ht="85" x14ac:dyDescent="0.2">
      <c r="A8" s="56" t="s">
        <v>150</v>
      </c>
      <c r="B8" s="29" t="s">
        <v>151</v>
      </c>
      <c r="C8" s="29" t="s">
        <v>152</v>
      </c>
      <c r="D8" s="29" t="s">
        <v>153</v>
      </c>
      <c r="E8" s="29" t="s">
        <v>154</v>
      </c>
      <c r="F8" s="14" t="s">
        <v>155</v>
      </c>
      <c r="G8" s="30" t="s">
        <v>22</v>
      </c>
      <c r="H8" s="29" t="s">
        <v>156</v>
      </c>
    </row>
    <row r="9" spans="1:8" ht="85" x14ac:dyDescent="0.2">
      <c r="A9" s="55" t="s">
        <v>157</v>
      </c>
      <c r="B9" s="15" t="s">
        <v>158</v>
      </c>
      <c r="C9" s="15" t="s">
        <v>159</v>
      </c>
      <c r="D9" s="15" t="s">
        <v>160</v>
      </c>
      <c r="E9" s="15" t="s">
        <v>161</v>
      </c>
      <c r="F9" s="57" t="s">
        <v>162</v>
      </c>
      <c r="G9" s="16" t="s">
        <v>100</v>
      </c>
      <c r="H9" s="15" t="s">
        <v>163</v>
      </c>
    </row>
    <row r="10" spans="1:8" ht="68" x14ac:dyDescent="0.2">
      <c r="A10" s="56" t="s">
        <v>164</v>
      </c>
      <c r="B10" s="29" t="s">
        <v>165</v>
      </c>
      <c r="C10" s="29" t="s">
        <v>166</v>
      </c>
      <c r="D10" s="29" t="s">
        <v>167</v>
      </c>
      <c r="E10" s="29" t="s">
        <v>168</v>
      </c>
      <c r="F10" s="24" t="s">
        <v>169</v>
      </c>
      <c r="G10" s="30" t="s">
        <v>42</v>
      </c>
      <c r="H10" s="29" t="s">
        <v>170</v>
      </c>
    </row>
    <row r="11" spans="1:8" ht="68" x14ac:dyDescent="0.2">
      <c r="A11" s="58" t="s">
        <v>171</v>
      </c>
      <c r="B11" s="59" t="s">
        <v>172</v>
      </c>
      <c r="C11" s="59" t="s">
        <v>173</v>
      </c>
      <c r="D11" s="59" t="s">
        <v>174</v>
      </c>
      <c r="E11" s="59" t="s">
        <v>175</v>
      </c>
      <c r="F11" s="36" t="s">
        <v>176</v>
      </c>
      <c r="G11" s="60" t="s">
        <v>94</v>
      </c>
      <c r="H11" s="59" t="s">
        <v>177</v>
      </c>
    </row>
    <row r="12" spans="1:8" ht="69" thickBot="1" x14ac:dyDescent="0.25">
      <c r="A12" s="61" t="s">
        <v>178</v>
      </c>
      <c r="B12" s="47" t="s">
        <v>179</v>
      </c>
      <c r="C12" s="47" t="s">
        <v>180</v>
      </c>
      <c r="D12" s="47" t="s">
        <v>181</v>
      </c>
      <c r="E12" s="47" t="s">
        <v>182</v>
      </c>
      <c r="F12" s="62" t="s">
        <v>183</v>
      </c>
      <c r="G12" s="48" t="s">
        <v>17</v>
      </c>
      <c r="H12" s="47" t="s">
        <v>184</v>
      </c>
    </row>
  </sheetData>
  <autoFilter ref="A4:H12" xr:uid="{00000000-0009-0000-0000-000001000000}"/>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
  <sheetViews>
    <sheetView zoomScale="90" workbookViewId="0">
      <pane ySplit="4" topLeftCell="A5" activePane="bottomLeft" state="frozen"/>
      <selection pane="bottomLeft" activeCell="D11" sqref="D11"/>
    </sheetView>
  </sheetViews>
  <sheetFormatPr baseColWidth="10" defaultColWidth="8.83203125" defaultRowHeight="15" x14ac:dyDescent="0.2"/>
  <cols>
    <col min="1" max="1" width="10" customWidth="1"/>
    <col min="2" max="2" width="12.5" customWidth="1"/>
    <col min="3" max="3" width="55" customWidth="1"/>
    <col min="4" max="4" width="13.33203125" customWidth="1"/>
    <col min="5" max="6" width="11.6640625" customWidth="1"/>
    <col min="7" max="7" width="14.1640625" customWidth="1"/>
    <col min="8" max="8" width="41.6640625" customWidth="1"/>
    <col min="9" max="9" width="20.83203125" customWidth="1"/>
    <col min="10" max="10" width="24.1640625" customWidth="1"/>
  </cols>
  <sheetData>
    <row r="1" spans="1:10" ht="21" x14ac:dyDescent="0.25">
      <c r="A1" s="3" t="s">
        <v>185</v>
      </c>
      <c r="B1" s="2"/>
      <c r="C1" s="2"/>
      <c r="D1" s="2"/>
      <c r="E1" s="2"/>
      <c r="F1" s="2"/>
      <c r="G1" s="2"/>
      <c r="H1" s="2"/>
      <c r="I1" s="2"/>
      <c r="J1" s="2"/>
    </row>
    <row r="2" spans="1:10" ht="16" x14ac:dyDescent="0.2">
      <c r="A2" s="50" t="s">
        <v>186</v>
      </c>
      <c r="B2" s="51"/>
      <c r="C2" s="51"/>
      <c r="D2" s="51"/>
      <c r="E2" s="51"/>
      <c r="F2" s="51"/>
      <c r="G2" s="51"/>
      <c r="H2" s="51"/>
      <c r="I2" s="51"/>
      <c r="J2" s="51"/>
    </row>
    <row r="3" spans="1:10" ht="16" x14ac:dyDescent="0.2">
      <c r="A3" s="52"/>
      <c r="B3" s="52"/>
      <c r="C3" s="52"/>
      <c r="D3" s="52"/>
      <c r="E3" s="52"/>
      <c r="F3" s="52"/>
      <c r="G3" s="52"/>
      <c r="H3" s="52"/>
      <c r="I3" s="52"/>
      <c r="J3" s="52"/>
    </row>
    <row r="4" spans="1:10" ht="34" x14ac:dyDescent="0.2">
      <c r="A4" s="53" t="s">
        <v>187</v>
      </c>
      <c r="B4" s="53" t="s">
        <v>188</v>
      </c>
      <c r="C4" s="54" t="s">
        <v>189</v>
      </c>
      <c r="D4" s="53" t="s">
        <v>190</v>
      </c>
      <c r="E4" s="53" t="s">
        <v>191</v>
      </c>
      <c r="F4" s="53" t="s">
        <v>192</v>
      </c>
      <c r="G4" s="53" t="s">
        <v>193</v>
      </c>
      <c r="H4" s="54" t="s">
        <v>194</v>
      </c>
      <c r="I4" s="54" t="s">
        <v>195</v>
      </c>
      <c r="J4" s="54" t="s">
        <v>196</v>
      </c>
    </row>
    <row r="5" spans="1:10" ht="85" x14ac:dyDescent="0.2">
      <c r="A5" s="55" t="s">
        <v>197</v>
      </c>
      <c r="B5" s="16" t="s">
        <v>126</v>
      </c>
      <c r="C5" s="15" t="s">
        <v>198</v>
      </c>
      <c r="D5" s="64">
        <v>4</v>
      </c>
      <c r="E5" s="64">
        <v>5</v>
      </c>
      <c r="F5" s="65">
        <f t="shared" ref="F5:F12" si="0">D5*E5</f>
        <v>20</v>
      </c>
      <c r="G5" s="65" t="str">
        <f t="shared" ref="G5:G12" si="1">IF(F5&gt;=20,"Critical",IF(F5&gt;=15,"High",IF(F5&gt;=9,"Medium","Low")))</f>
        <v>Critical</v>
      </c>
      <c r="H5" s="15" t="s">
        <v>199</v>
      </c>
      <c r="I5" s="15" t="s">
        <v>200</v>
      </c>
      <c r="J5" s="15" t="s">
        <v>201</v>
      </c>
    </row>
    <row r="6" spans="1:10" ht="68" x14ac:dyDescent="0.2">
      <c r="A6" s="56" t="s">
        <v>202</v>
      </c>
      <c r="B6" s="30" t="s">
        <v>134</v>
      </c>
      <c r="C6" s="29" t="s">
        <v>203</v>
      </c>
      <c r="D6" s="66">
        <v>4</v>
      </c>
      <c r="E6" s="66">
        <v>5</v>
      </c>
      <c r="F6" s="67">
        <f t="shared" si="0"/>
        <v>20</v>
      </c>
      <c r="G6" s="67" t="str">
        <f t="shared" si="1"/>
        <v>Critical</v>
      </c>
      <c r="H6" s="29" t="s">
        <v>204</v>
      </c>
      <c r="I6" s="29" t="s">
        <v>205</v>
      </c>
      <c r="J6" s="29" t="s">
        <v>206</v>
      </c>
    </row>
    <row r="7" spans="1:10" ht="68" x14ac:dyDescent="0.2">
      <c r="A7" s="55" t="s">
        <v>207</v>
      </c>
      <c r="B7" s="16" t="s">
        <v>142</v>
      </c>
      <c r="C7" s="15" t="s">
        <v>208</v>
      </c>
      <c r="D7" s="64">
        <v>3</v>
      </c>
      <c r="E7" s="64">
        <v>5</v>
      </c>
      <c r="F7" s="65">
        <f t="shared" si="0"/>
        <v>15</v>
      </c>
      <c r="G7" s="65" t="str">
        <f t="shared" si="1"/>
        <v>High</v>
      </c>
      <c r="H7" s="15" t="s">
        <v>209</v>
      </c>
      <c r="I7" s="15" t="s">
        <v>210</v>
      </c>
      <c r="J7" s="15" t="s">
        <v>211</v>
      </c>
    </row>
    <row r="8" spans="1:10" ht="68" x14ac:dyDescent="0.2">
      <c r="A8" s="56" t="s">
        <v>212</v>
      </c>
      <c r="B8" s="30" t="s">
        <v>150</v>
      </c>
      <c r="C8" s="29" t="s">
        <v>213</v>
      </c>
      <c r="D8" s="66">
        <v>3</v>
      </c>
      <c r="E8" s="66">
        <v>4</v>
      </c>
      <c r="F8" s="67">
        <f t="shared" si="0"/>
        <v>12</v>
      </c>
      <c r="G8" s="67" t="str">
        <f t="shared" si="1"/>
        <v>Medium</v>
      </c>
      <c r="H8" s="29" t="s">
        <v>214</v>
      </c>
      <c r="I8" s="29" t="s">
        <v>215</v>
      </c>
      <c r="J8" s="29" t="s">
        <v>216</v>
      </c>
    </row>
    <row r="9" spans="1:10" ht="68" x14ac:dyDescent="0.2">
      <c r="A9" s="55" t="s">
        <v>217</v>
      </c>
      <c r="B9" s="16" t="s">
        <v>157</v>
      </c>
      <c r="C9" s="15" t="s">
        <v>218</v>
      </c>
      <c r="D9" s="64">
        <v>3</v>
      </c>
      <c r="E9" s="64">
        <v>5</v>
      </c>
      <c r="F9" s="65">
        <f t="shared" si="0"/>
        <v>15</v>
      </c>
      <c r="G9" s="65" t="str">
        <f t="shared" si="1"/>
        <v>High</v>
      </c>
      <c r="H9" s="15" t="s">
        <v>219</v>
      </c>
      <c r="I9" s="15" t="s">
        <v>220</v>
      </c>
      <c r="J9" s="15" t="s">
        <v>221</v>
      </c>
    </row>
    <row r="10" spans="1:10" ht="68" x14ac:dyDescent="0.2">
      <c r="A10" s="56" t="s">
        <v>222</v>
      </c>
      <c r="B10" s="30" t="s">
        <v>164</v>
      </c>
      <c r="C10" s="29" t="s">
        <v>223</v>
      </c>
      <c r="D10" s="66">
        <v>4</v>
      </c>
      <c r="E10" s="66">
        <v>4</v>
      </c>
      <c r="F10" s="67">
        <f t="shared" si="0"/>
        <v>16</v>
      </c>
      <c r="G10" s="67" t="str">
        <f t="shared" si="1"/>
        <v>High</v>
      </c>
      <c r="H10" s="29" t="s">
        <v>224</v>
      </c>
      <c r="I10" s="29" t="s">
        <v>225</v>
      </c>
      <c r="J10" s="29" t="s">
        <v>226</v>
      </c>
    </row>
    <row r="11" spans="1:10" ht="68" x14ac:dyDescent="0.2">
      <c r="A11" s="58" t="s">
        <v>227</v>
      </c>
      <c r="B11" s="60" t="s">
        <v>171</v>
      </c>
      <c r="C11" s="59" t="s">
        <v>228</v>
      </c>
      <c r="D11" s="68">
        <v>3</v>
      </c>
      <c r="E11" s="68">
        <v>4</v>
      </c>
      <c r="F11" s="69">
        <f t="shared" si="0"/>
        <v>12</v>
      </c>
      <c r="G11" s="69" t="str">
        <f t="shared" si="1"/>
        <v>Medium</v>
      </c>
      <c r="H11" s="59" t="s">
        <v>229</v>
      </c>
      <c r="I11" s="59" t="s">
        <v>230</v>
      </c>
      <c r="J11" s="59" t="s">
        <v>206</v>
      </c>
    </row>
    <row r="12" spans="1:10" ht="69" thickBot="1" x14ac:dyDescent="0.25">
      <c r="A12" s="61" t="s">
        <v>231</v>
      </c>
      <c r="B12" s="48" t="s">
        <v>178</v>
      </c>
      <c r="C12" s="47" t="s">
        <v>232</v>
      </c>
      <c r="D12" s="70">
        <v>3</v>
      </c>
      <c r="E12" s="70">
        <v>4</v>
      </c>
      <c r="F12" s="71">
        <f t="shared" si="0"/>
        <v>12</v>
      </c>
      <c r="G12" s="71" t="str">
        <f t="shared" si="1"/>
        <v>Medium</v>
      </c>
      <c r="H12" s="47" t="s">
        <v>233</v>
      </c>
      <c r="I12" s="47" t="s">
        <v>234</v>
      </c>
      <c r="J12" s="47" t="s">
        <v>235</v>
      </c>
    </row>
    <row r="13" spans="1:10" ht="16" x14ac:dyDescent="0.2">
      <c r="A13" s="52"/>
      <c r="B13" s="52"/>
      <c r="C13" s="52"/>
      <c r="D13" s="52"/>
      <c r="E13" s="52"/>
      <c r="F13" s="52"/>
      <c r="G13" s="52"/>
      <c r="H13" s="52"/>
      <c r="I13" s="52"/>
      <c r="J13" s="52"/>
    </row>
    <row r="14" spans="1:10" ht="16" x14ac:dyDescent="0.2">
      <c r="A14" s="63" t="s">
        <v>236</v>
      </c>
      <c r="B14" s="52"/>
      <c r="C14" s="52"/>
      <c r="D14" s="52"/>
      <c r="E14" s="52"/>
      <c r="F14" s="52"/>
      <c r="G14" s="52"/>
      <c r="H14" s="52"/>
      <c r="I14" s="52"/>
      <c r="J14" s="52"/>
    </row>
    <row r="15" spans="1:10" ht="16" x14ac:dyDescent="0.2">
      <c r="A15" s="72" t="s">
        <v>237</v>
      </c>
      <c r="B15" s="73">
        <f>COUNTIF(G5:G12,"Critical")</f>
        <v>2</v>
      </c>
      <c r="C15" s="52"/>
      <c r="D15" s="52"/>
      <c r="E15" s="52"/>
      <c r="F15" s="52"/>
      <c r="G15" s="52"/>
      <c r="H15" s="52"/>
      <c r="I15" s="52"/>
      <c r="J15" s="52"/>
    </row>
    <row r="16" spans="1:10" ht="16" x14ac:dyDescent="0.2">
      <c r="A16" s="74" t="s">
        <v>238</v>
      </c>
      <c r="B16" s="73">
        <f>COUNTIF(G5:G12,"High")</f>
        <v>3</v>
      </c>
      <c r="C16" s="52"/>
      <c r="D16" s="52"/>
      <c r="E16" s="52"/>
      <c r="F16" s="52"/>
      <c r="G16" s="52"/>
      <c r="H16" s="52"/>
      <c r="I16" s="52"/>
      <c r="J16" s="52"/>
    </row>
    <row r="17" spans="1:10" ht="16" x14ac:dyDescent="0.2">
      <c r="A17" s="75" t="s">
        <v>239</v>
      </c>
      <c r="B17" s="73">
        <f>COUNTIF(G5:G12,"Medium")</f>
        <v>3</v>
      </c>
      <c r="C17" s="52"/>
      <c r="D17" s="52"/>
      <c r="E17" s="52"/>
      <c r="F17" s="52"/>
      <c r="G17" s="52"/>
      <c r="H17" s="52"/>
      <c r="I17" s="52"/>
      <c r="J17" s="52"/>
    </row>
    <row r="18" spans="1:10" ht="16" x14ac:dyDescent="0.2">
      <c r="A18" s="76" t="s">
        <v>240</v>
      </c>
      <c r="B18" s="73">
        <f>COUNTIF(G5:G12,"Low")</f>
        <v>0</v>
      </c>
      <c r="C18" s="52"/>
      <c r="D18" s="52"/>
      <c r="E18" s="52"/>
      <c r="F18" s="52"/>
      <c r="G18" s="52"/>
      <c r="H18" s="52"/>
      <c r="I18" s="52"/>
      <c r="J18" s="52"/>
    </row>
  </sheetData>
  <autoFilter ref="A4:J12" xr:uid="{00000000-0009-0000-0000-000002000000}"/>
  <mergeCells count="2">
    <mergeCell ref="A1:J1"/>
    <mergeCell ref="A2:J2"/>
  </mergeCells>
  <conditionalFormatting sqref="F5:F12">
    <cfRule type="cellIs" dxfId="7" priority="5" operator="between">
      <formula>20</formula>
      <formula>25</formula>
    </cfRule>
  </conditionalFormatting>
  <conditionalFormatting sqref="F5:F12">
    <cfRule type="cellIs" dxfId="6" priority="6" operator="between">
      <formula>15</formula>
      <formula>19</formula>
    </cfRule>
  </conditionalFormatting>
  <conditionalFormatting sqref="F5:F12">
    <cfRule type="cellIs" dxfId="5" priority="7" operator="between">
      <formula>9</formula>
      <formula>14</formula>
    </cfRule>
  </conditionalFormatting>
  <conditionalFormatting sqref="F5:F12">
    <cfRule type="cellIs" dxfId="4" priority="8" operator="between">
      <formula>1</formula>
      <formula>8</formula>
    </cfRule>
  </conditionalFormatting>
  <conditionalFormatting sqref="G5:G12">
    <cfRule type="containsText" dxfId="3" priority="9" operator="containsText" text="Critical">
      <formula>NOT(ISERROR(SEARCH("Critical",G5)))</formula>
    </cfRule>
  </conditionalFormatting>
  <conditionalFormatting sqref="G5:G12">
    <cfRule type="containsText" dxfId="2" priority="10" operator="containsText" text="High">
      <formula>NOT(ISERROR(SEARCH("High",G5)))</formula>
    </cfRule>
  </conditionalFormatting>
  <conditionalFormatting sqref="G5:G12">
    <cfRule type="containsText" dxfId="1" priority="11" operator="containsText" text="Medium">
      <formula>NOT(ISERROR(SEARCH("Medium",G5)))</formula>
    </cfRule>
  </conditionalFormatting>
  <conditionalFormatting sqref="G5:G12">
    <cfRule type="containsText" dxfId="0" priority="12" operator="containsText" text="Low">
      <formula>NOT(ISERROR(SEARCH("Low",G5)))</formula>
    </cfRule>
  </conditionalFormatting>
  <dataValidations count="1">
    <dataValidation type="whole" sqref="D5:E12" xr:uid="{00000000-0002-0000-0200-000000000000}">
      <formula1>1</formula1>
      <formula2>5</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Framework Mapping</vt:lpstr>
      <vt:lpstr>Findings Log</vt:lpstr>
      <vt:lpstr>Risk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meghna suresh</cp:lastModifiedBy>
  <dcterms:created xsi:type="dcterms:W3CDTF">2026-07-07T11:41:51Z</dcterms:created>
  <dcterms:modified xsi:type="dcterms:W3CDTF">2026-07-07T11:55:43Z</dcterms:modified>
</cp:coreProperties>
</file>